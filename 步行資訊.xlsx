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確版行程與通勤規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595959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EBF1F5"/>
        <bgColor rgb="00EBF1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3" max="3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40" customHeight="1">
      <c r="A1" s="1" t="inlineStr">
        <is>
          <t>九州 AI 高效旅遊規劃 - 異質族群通勤時間分析表 (最終修正版)</t>
        </is>
      </c>
    </row>
    <row r="2" ht="20" customHeight="1">
      <c r="A2" s="2" t="inlineStr">
        <is>
          <t>※ 總通勤時間公式 = 搭車時間 + 該族群步行時間。兒童步行按基準x1.5四捨五入，老年按基準x1.8四捨五入。</t>
        </is>
      </c>
    </row>
    <row r="4" ht="28" customHeight="1">
      <c r="A4" s="3" t="inlineStr">
        <is>
          <t>地點名稱</t>
        </is>
      </c>
      <c r="B4" s="3" t="inlineStr">
        <is>
          <t>分類</t>
        </is>
      </c>
      <c r="C4" s="3" t="inlineStr">
        <is>
          <t>地址</t>
        </is>
      </c>
      <c r="D4" s="3" t="inlineStr">
        <is>
          <t>停留時間</t>
        </is>
      </c>
      <c r="E4" s="3" t="inlineStr">
        <is>
          <t>天數(Day)</t>
        </is>
      </c>
      <c r="F4" s="3" t="inlineStr">
        <is>
          <t>原始通車資訊</t>
        </is>
      </c>
      <c r="G4" s="3" t="inlineStr">
        <is>
          <t>搭車時間(分)</t>
        </is>
      </c>
      <c r="H4" s="3" t="inlineStr">
        <is>
          <t>壯年步行(基準)</t>
        </is>
      </c>
      <c r="I4" s="3" t="inlineStr">
        <is>
          <t>兒童步行(x1.5)</t>
        </is>
      </c>
      <c r="J4" s="3" t="inlineStr">
        <is>
          <t>老年步行(x1.8)</t>
        </is>
      </c>
      <c r="K4" s="3" t="inlineStr">
        <is>
          <t>壯年總通勤(分)</t>
        </is>
      </c>
      <c r="L4" s="3" t="inlineStr">
        <is>
          <t>兒童總通勤(分)</t>
        </is>
      </c>
      <c r="M4" s="3" t="inlineStr">
        <is>
          <t>老年總通勤(分)</t>
        </is>
      </c>
    </row>
    <row r="5" ht="22" customHeight="1">
      <c r="A5" s="4" t="inlineStr">
        <is>
          <t>大濠公園</t>
        </is>
      </c>
      <c r="B5" s="5" t="inlineStr">
        <is>
          <t>景點</t>
        </is>
      </c>
      <c r="C5" s="4" t="inlineStr">
        <is>
          <t>福岡県福岡市中央区大濠公園</t>
        </is>
      </c>
      <c r="D5" s="5" t="inlineStr">
        <is>
          <t>1.5小時</t>
        </is>
      </c>
      <c r="E5" s="5" t="n">
        <v>1</v>
      </c>
      <c r="F5" s="4" t="inlineStr">
        <is>
          <t>從博多搭地鐵約 15 分</t>
        </is>
      </c>
      <c r="G5" s="6" t="n">
        <v>15</v>
      </c>
      <c r="H5" s="6" t="n">
        <v>10</v>
      </c>
      <c r="I5" s="6">
        <f>ROUND(H5*1.5, 0)</f>
        <v/>
      </c>
      <c r="J5" s="6">
        <f>ROUND(H5*1.8, 0)</f>
        <v/>
      </c>
      <c r="K5" s="7">
        <f>G5+H5</f>
        <v/>
      </c>
      <c r="L5" s="7">
        <f>G5+I5</f>
        <v/>
      </c>
      <c r="M5" s="7">
        <f>G5+J5</f>
        <v/>
      </c>
    </row>
    <row r="6" ht="22" customHeight="1">
      <c r="A6" s="8" t="inlineStr">
        <is>
          <t>三井LaLaport福岡</t>
        </is>
      </c>
      <c r="B6" s="9" t="inlineStr">
        <is>
          <t>購物</t>
        </is>
      </c>
      <c r="C6" s="8" t="inlineStr">
        <is>
          <t>福岡県福岡市博多区那珂6丁目23-1</t>
        </is>
      </c>
      <c r="D6" s="9" t="inlineStr">
        <is>
          <t>2小時</t>
        </is>
      </c>
      <c r="E6" s="9" t="n">
        <v>1</v>
      </c>
      <c r="F6" s="8" t="inlineStr">
        <is>
          <t>搭公車約 30 分</t>
        </is>
      </c>
      <c r="G6" s="10" t="n">
        <v>30</v>
      </c>
      <c r="H6" s="10" t="n">
        <v>5</v>
      </c>
      <c r="I6" s="10">
        <f>ROUND(H6*1.5, 0)</f>
        <v/>
      </c>
      <c r="J6" s="10">
        <f>ROUND(H6*1.8, 0)</f>
        <v/>
      </c>
      <c r="K6" s="7">
        <f>G6+H6</f>
        <v/>
      </c>
      <c r="L6" s="7">
        <f>G6+I6</f>
        <v/>
      </c>
      <c r="M6" s="7">
        <f>G6+J6</f>
        <v/>
      </c>
    </row>
    <row r="7" ht="22" customHeight="1">
      <c r="A7" s="4" t="inlineStr">
        <is>
          <t>福岡塔</t>
        </is>
      </c>
      <c r="B7" s="5" t="inlineStr">
        <is>
          <t>景點</t>
        </is>
      </c>
      <c r="C7" s="4" t="inlineStr">
        <is>
          <t>福岡県福岡市早良区百道浜2丁目3-26</t>
        </is>
      </c>
      <c r="D7" s="5" t="inlineStr">
        <is>
          <t>1.5小時</t>
        </is>
      </c>
      <c r="E7" s="5" t="n">
        <v>1</v>
      </c>
      <c r="F7" s="4" t="inlineStr">
        <is>
          <t>從LaLaport搭公車約 45 分</t>
        </is>
      </c>
      <c r="G7" s="6" t="n">
        <v>45</v>
      </c>
      <c r="H7" s="6" t="n">
        <v>8</v>
      </c>
      <c r="I7" s="6">
        <f>ROUND(H7*1.5, 0)</f>
        <v/>
      </c>
      <c r="J7" s="6">
        <f>ROUND(H7*1.8, 0)</f>
        <v/>
      </c>
      <c r="K7" s="7">
        <f>G7+H7</f>
        <v/>
      </c>
      <c r="L7" s="7">
        <f>G7+I7</f>
        <v/>
      </c>
      <c r="M7" s="7">
        <f>G7+J7</f>
        <v/>
      </c>
    </row>
    <row r="8" ht="22" customHeight="1">
      <c r="A8" s="8" t="inlineStr">
        <is>
          <t>笑樂牛腸鍋博多車站店</t>
        </is>
      </c>
      <c r="B8" s="9" t="inlineStr">
        <is>
          <t>美食</t>
        </is>
      </c>
      <c r="C8" s="8" t="inlineStr">
        <is>
          <t>福岡県福岡市博多區博多駅中央街1-1</t>
        </is>
      </c>
      <c r="D8" s="9" t="inlineStr">
        <is>
          <t>晚餐</t>
        </is>
      </c>
      <c r="E8" s="9" t="n">
        <v>1</v>
      </c>
      <c r="F8" s="8" t="inlineStr">
        <is>
          <t>從福岡塔搭公車約 20 分</t>
        </is>
      </c>
      <c r="G8" s="10" t="n">
        <v>20</v>
      </c>
      <c r="H8" s="10" t="n">
        <v>3</v>
      </c>
      <c r="I8" s="10">
        <f>ROUND(H8*1.5, 0)</f>
        <v/>
      </c>
      <c r="J8" s="10">
        <f>ROUND(H8*1.8, 0)</f>
        <v/>
      </c>
      <c r="K8" s="7">
        <f>G8+H8</f>
        <v/>
      </c>
      <c r="L8" s="7">
        <f>G8+I8</f>
        <v/>
      </c>
      <c r="M8" s="7">
        <f>G8+J8</f>
        <v/>
      </c>
    </row>
    <row r="9" ht="22" customHeight="1">
      <c r="A9" s="4" t="inlineStr">
        <is>
          <t>太宰府天滿宮</t>
        </is>
      </c>
      <c r="B9" s="5" t="inlineStr">
        <is>
          <t>景點</t>
        </is>
      </c>
      <c r="C9" s="4" t="inlineStr">
        <is>
          <t>福岡県太宰府市宰府4丁目7-1</t>
        </is>
      </c>
      <c r="D9" s="5" t="inlineStr">
        <is>
          <t>2.5小時</t>
        </is>
      </c>
      <c r="E9" s="5" t="n">
        <v>2</v>
      </c>
      <c r="F9" s="4" t="inlineStr">
        <is>
          <t>從博多搭西鐵約 45 分</t>
        </is>
      </c>
      <c r="G9" s="6" t="n">
        <v>45</v>
      </c>
      <c r="H9" s="6" t="n">
        <v>12</v>
      </c>
      <c r="I9" s="6">
        <f>ROUND(H9*1.5, 0)</f>
        <v/>
      </c>
      <c r="J9" s="6">
        <f>ROUND(H9*1.8, 0)</f>
        <v/>
      </c>
      <c r="K9" s="7">
        <f>G9+H9</f>
        <v/>
      </c>
      <c r="L9" s="7">
        <f>G9+I9</f>
        <v/>
      </c>
      <c r="M9" s="7">
        <f>G9+J9</f>
        <v/>
      </c>
    </row>
    <row r="10" ht="22" customHeight="1">
      <c r="A10" s="8" t="inlineStr">
        <is>
          <t>柳川遊船</t>
        </is>
      </c>
      <c r="B10" s="9" t="inlineStr">
        <is>
          <t>景點</t>
        </is>
      </c>
      <c r="C10" s="8" t="inlineStr">
        <is>
          <t>福岡県柳川市三橋町下百町1-6</t>
        </is>
      </c>
      <c r="D10" s="9" t="inlineStr">
        <is>
          <t>2小時</t>
        </is>
      </c>
      <c r="E10" s="9" t="n">
        <v>2</v>
      </c>
      <c r="F10" s="8" t="inlineStr">
        <is>
          <t>從太宰府搭西鐵約 45 分</t>
        </is>
      </c>
      <c r="G10" s="10" t="n">
        <v>45</v>
      </c>
      <c r="H10" s="10" t="n">
        <v>10</v>
      </c>
      <c r="I10" s="10">
        <f>ROUND(H10*1.5, 0)</f>
        <v/>
      </c>
      <c r="J10" s="10">
        <f>ROUND(H10*1.8, 0)</f>
        <v/>
      </c>
      <c r="K10" s="7">
        <f>G10+H10</f>
        <v/>
      </c>
      <c r="L10" s="7">
        <f>G10+I10</f>
        <v/>
      </c>
      <c r="M10" s="7">
        <f>G10+J10</f>
        <v/>
      </c>
    </row>
    <row r="11" ht="22" customHeight="1">
      <c r="A11" s="4" t="inlineStr">
        <is>
          <t>中洲屋台街</t>
        </is>
      </c>
      <c r="B11" s="5" t="inlineStr">
        <is>
          <t>美食</t>
        </is>
      </c>
      <c r="C11" s="4" t="inlineStr">
        <is>
          <t>福岡県福岡市博多區中洲1丁目</t>
        </is>
      </c>
      <c r="D11" s="5" t="inlineStr">
        <is>
          <t>晚餐宵夜</t>
        </is>
      </c>
      <c r="E11" s="5" t="n">
        <v>2</v>
      </c>
      <c r="F11" s="4" t="inlineStr">
        <is>
          <t>從柳川搭西鐵約 60 分</t>
        </is>
      </c>
      <c r="G11" s="6" t="n">
        <v>60</v>
      </c>
      <c r="H11" s="6" t="n">
        <v>5</v>
      </c>
      <c r="I11" s="6">
        <f>ROUND(H11*1.5, 0)</f>
        <v/>
      </c>
      <c r="J11" s="6">
        <f>ROUND(H11*1.8, 0)</f>
        <v/>
      </c>
      <c r="K11" s="7">
        <f>G11+H11</f>
        <v/>
      </c>
      <c r="L11" s="7">
        <f>G11+I11</f>
        <v/>
      </c>
      <c r="M11" s="7">
        <f>G11+J11</f>
        <v/>
      </c>
    </row>
    <row r="12" ht="22" customHeight="1">
      <c r="A12" s="8" t="inlineStr">
        <is>
          <t>由布院湯之坪街道</t>
        </is>
      </c>
      <c r="B12" s="9" t="inlineStr">
        <is>
          <t>景點</t>
        </is>
      </c>
      <c r="C12" s="8" t="inlineStr">
        <is>
          <t>大分県由布市湯布院町川上</t>
        </is>
      </c>
      <c r="D12" s="9" t="inlineStr">
        <is>
          <t>3-4小時</t>
        </is>
      </c>
      <c r="E12" s="9" t="n">
        <v>3</v>
      </c>
      <c r="F12" s="8" t="inlineStr">
        <is>
          <t>搭由布院之森約 2小時 15分</t>
        </is>
      </c>
      <c r="G12" s="10" t="n">
        <v>135</v>
      </c>
      <c r="H12" s="10" t="n">
        <v>10</v>
      </c>
      <c r="I12" s="10">
        <f>ROUND(H12*1.5, 0)</f>
        <v/>
      </c>
      <c r="J12" s="10">
        <f>ROUND(H12*1.8, 0)</f>
        <v/>
      </c>
      <c r="K12" s="7">
        <f>G12+H12</f>
        <v/>
      </c>
      <c r="L12" s="7">
        <f>G12+I12</f>
        <v/>
      </c>
      <c r="M12" s="7">
        <f>G12+J12</f>
        <v/>
      </c>
    </row>
    <row r="13" ht="22" customHeight="1">
      <c r="A13" s="4" t="inlineStr">
        <is>
          <t>博多運河城</t>
        </is>
      </c>
      <c r="B13" s="5" t="inlineStr">
        <is>
          <t>購物</t>
        </is>
      </c>
      <c r="C13" s="4" t="inlineStr">
        <is>
          <t>福岡県福岡市博多區住吉1丁目2</t>
        </is>
      </c>
      <c r="D13" s="5" t="inlineStr">
        <is>
          <t>晚餐</t>
        </is>
      </c>
      <c r="E13" s="5" t="n">
        <v>3</v>
      </c>
      <c r="F13" s="4" t="inlineStr">
        <is>
          <t>從博多車站步行約 10 分</t>
        </is>
      </c>
      <c r="G13" s="6" t="n">
        <v>0</v>
      </c>
      <c r="H13" s="6" t="n">
        <v>10</v>
      </c>
      <c r="I13" s="6">
        <f>ROUND(H13*1.5, 0)</f>
        <v/>
      </c>
      <c r="J13" s="6">
        <f>ROUND(H13*1.8, 0)</f>
        <v/>
      </c>
      <c r="K13" s="7">
        <f>G13+H13</f>
        <v/>
      </c>
      <c r="L13" s="7">
        <f>G13+I13</f>
        <v/>
      </c>
      <c r="M13" s="7">
        <f>G13+J13</f>
        <v/>
      </c>
    </row>
    <row r="14" ht="22" customHeight="1">
      <c r="A14" s="8" t="inlineStr">
        <is>
          <t>高千穗峽集合點</t>
        </is>
      </c>
      <c r="B14" s="9" t="inlineStr">
        <is>
          <t>交通</t>
        </is>
      </c>
      <c r="C14" s="8" t="inlineStr">
        <is>
          <t>福岡県福岡市博多區博多駅中央街1-1</t>
        </is>
      </c>
      <c r="D14" s="9" t="inlineStr">
        <is>
          <t>全天</t>
        </is>
      </c>
      <c r="E14" s="9" t="n">
        <v>4</v>
      </c>
      <c r="F14" s="8" t="inlineStr">
        <is>
          <t>集合點在博多車站</t>
        </is>
      </c>
      <c r="G14" s="10" t="n">
        <v>0</v>
      </c>
      <c r="H14" s="10" t="n">
        <v>5</v>
      </c>
      <c r="I14" s="10">
        <f>ROUND(H14*1.5, 0)</f>
        <v/>
      </c>
      <c r="J14" s="10">
        <f>ROUND(H14*1.8, 0)</f>
        <v/>
      </c>
      <c r="K14" s="7">
        <f>G14+H14</f>
        <v/>
      </c>
      <c r="L14" s="7">
        <f>G14+I14</f>
        <v/>
      </c>
      <c r="M14" s="7">
        <f>G14+J14</f>
        <v/>
      </c>
    </row>
    <row r="15" ht="22" customHeight="1">
      <c r="A15" s="4" t="inlineStr">
        <is>
          <t>高千穗峽</t>
        </is>
      </c>
      <c r="B15" s="5" t="inlineStr">
        <is>
          <t>景點</t>
        </is>
      </c>
      <c r="C15" s="4" t="inlineStr">
        <is>
          <t>宮崎県西臼杵郡高千穂町</t>
        </is>
      </c>
      <c r="D15" s="5" t="inlineStr">
        <is>
          <t>3小時</t>
        </is>
      </c>
      <c r="E15" s="5" t="n">
        <v>4</v>
      </c>
      <c r="F15" s="4" t="inlineStr">
        <is>
          <t>抵達高千穗峽約 11:00</t>
        </is>
      </c>
      <c r="G15" s="6" t="n">
        <v>180</v>
      </c>
      <c r="H15" s="6" t="n">
        <v>20</v>
      </c>
      <c r="I15" s="6">
        <f>ROUND(H15*1.5, 0)</f>
        <v/>
      </c>
      <c r="J15" s="6">
        <f>ROUND(H15*1.8, 0)</f>
        <v/>
      </c>
      <c r="K15" s="7">
        <f>G15+H15</f>
        <v/>
      </c>
      <c r="L15" s="7">
        <f>G15+I15</f>
        <v/>
      </c>
      <c r="M15" s="7">
        <f>G15+J15</f>
        <v/>
      </c>
    </row>
    <row r="16" ht="22" customHeight="1">
      <c r="A16" s="8" t="inlineStr">
        <is>
          <t>元祖博多明太重</t>
        </is>
      </c>
      <c r="B16" s="9" t="inlineStr">
        <is>
          <t>美食</t>
        </is>
      </c>
      <c r="C16" s="8" t="inlineStr">
        <is>
          <t>福岡県福岡市中央区西中洲6-15</t>
        </is>
      </c>
      <c r="D16" s="9" t="inlineStr">
        <is>
          <t>晚餐</t>
        </is>
      </c>
      <c r="E16" s="9" t="n">
        <v>4</v>
      </c>
      <c r="F16" s="8" t="inlineStr">
        <is>
          <t>高千穗一日遊回程約 3 小時</t>
        </is>
      </c>
      <c r="G16" s="10" t="n">
        <v>180</v>
      </c>
      <c r="H16" s="10" t="n">
        <v>5</v>
      </c>
      <c r="I16" s="10">
        <f>ROUND(H16*1.5, 0)</f>
        <v/>
      </c>
      <c r="J16" s="10">
        <f>ROUND(H16*1.8, 0)</f>
        <v/>
      </c>
      <c r="K16" s="7">
        <f>G16+H16</f>
        <v/>
      </c>
      <c r="L16" s="7">
        <f>G16+I16</f>
        <v/>
      </c>
      <c r="M16" s="7">
        <f>G16+J16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2026-06-07T14:34:30Z</dcterms:created>
  <dcterms:modified xmlns:dcterms="http://purl.org/dc/terms/" xmlns:xsi="http://www.w3.org/2001/XMLSchema-instance" xsi:type="dcterms:W3CDTF">2026-06-07T14:34:30Z</dcterms:modified>
</cp:coreProperties>
</file>